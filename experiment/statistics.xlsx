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yy/Desktop/checker生成工作全部文件/论文/"/>
    </mc:Choice>
  </mc:AlternateContent>
  <xr:revisionPtr revIDLastSave="0" documentId="8_{71800AA9-327F-0D4D-AC7D-9E3FBCC1314D}" xr6:coauthVersionLast="47" xr6:coauthVersionMax="47" xr10:uidLastSave="{00000000-0000-0000-0000-000000000000}"/>
  <bookViews>
    <workbookView xWindow="0" yWindow="0" windowWidth="28800" windowHeight="18000" xr2:uid="{A8D12BF4-12F5-8143-B255-B72B94C7C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E73" i="1" s="1"/>
  <c r="C72" i="1"/>
  <c r="C73" i="1" s="1"/>
  <c r="B72" i="1"/>
  <c r="B73" i="1" s="1"/>
  <c r="F71" i="1"/>
  <c r="D71" i="1"/>
  <c r="F70" i="1"/>
  <c r="D70" i="1"/>
  <c r="F69" i="1"/>
  <c r="D69" i="1"/>
  <c r="F68" i="1"/>
  <c r="D68" i="1"/>
  <c r="F67" i="1"/>
  <c r="D67" i="1"/>
  <c r="F66" i="1"/>
  <c r="D66" i="1"/>
  <c r="F65" i="1"/>
  <c r="D65" i="1"/>
  <c r="F64" i="1"/>
  <c r="D64" i="1"/>
  <c r="F63" i="1"/>
  <c r="D63" i="1"/>
  <c r="F62" i="1"/>
  <c r="D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F53" i="1"/>
  <c r="D53" i="1"/>
  <c r="F52" i="1"/>
  <c r="F72" i="1" s="1"/>
  <c r="F73" i="1" s="1"/>
  <c r="D52" i="1"/>
  <c r="D72" i="1" s="1"/>
  <c r="D73" i="1" s="1"/>
</calcChain>
</file>

<file path=xl/sharedStrings.xml><?xml version="1.0" encoding="utf-8"?>
<sst xmlns="http://schemas.openxmlformats.org/spreadsheetml/2006/main" count="208" uniqueCount="101">
  <si>
    <t>easy rules</t>
  </si>
  <si>
    <t>AutoChecker</t>
  </si>
  <si>
    <t>noCaseLLM</t>
  </si>
  <si>
    <t>CasesLLM</t>
  </si>
  <si>
    <t>AvoidUsingOctalValuesRule</t>
  </si>
  <si>
    <t>8 / 8</t>
  </si>
  <si>
    <t>6 / 8</t>
  </si>
  <si>
    <t>ExceptionAsFlowControlRule</t>
  </si>
  <si>
    <t>5 / 7</t>
  </si>
  <si>
    <t>N / A</t>
  </si>
  <si>
    <t>ExcessiveImportsRule</t>
  </si>
  <si>
    <t>2 / 2</t>
  </si>
  <si>
    <t>ExcessivePublicCountRule</t>
  </si>
  <si>
    <t>7 / 7</t>
  </si>
  <si>
    <t>6 / 7</t>
  </si>
  <si>
    <t>IdenticalCatchBranchesRule</t>
  </si>
  <si>
    <t>4 / 7</t>
  </si>
  <si>
    <t>InefficientEmptyStringCheckRule</t>
  </si>
  <si>
    <t>14 / 18</t>
  </si>
  <si>
    <t>NullAssignmentRule</t>
  </si>
  <si>
    <t>19 / 19</t>
  </si>
  <si>
    <t>SignatureDeclareThrowsExceptionRule</t>
  </si>
  <si>
    <t>19 / 22</t>
  </si>
  <si>
    <t>StringInstantiationRule</t>
  </si>
  <si>
    <t>9 / 10</t>
  </si>
  <si>
    <t>UseStringBufferForStringAppendsRule</t>
  </si>
  <si>
    <t>18 / 28</t>
  </si>
  <si>
    <t>not easy rules</t>
  </si>
  <si>
    <t>AssignmentToNonFinalStaticRule</t>
  </si>
  <si>
    <t>6 / 6</t>
  </si>
  <si>
    <t>AvoidDuplicateLiteralsRule</t>
  </si>
  <si>
    <t>10 / 11</t>
  </si>
  <si>
    <t>3 / 11</t>
  </si>
  <si>
    <t>AvoidInstantiatingObjectsInLoopsRule</t>
  </si>
  <si>
    <t>20 / 23</t>
  </si>
  <si>
    <t>AvoidThrowingNullPointerExceptionRule</t>
  </si>
  <si>
    <t>7 / 9</t>
  </si>
  <si>
    <t>BrokenNullCheckRule</t>
  </si>
  <si>
    <t>17 / 25</t>
  </si>
  <si>
    <t>ClassWithOnlyPrivateConstructorsShouldBeFinalRule</t>
  </si>
  <si>
    <t>15 / 22</t>
  </si>
  <si>
    <t>13 / 22</t>
  </si>
  <si>
    <t>LiteralsFirstInComparisonsRule</t>
  </si>
  <si>
    <t>29 / 33</t>
  </si>
  <si>
    <t>EmptyControlStatementRule</t>
  </si>
  <si>
    <t>22 / 31</t>
  </si>
  <si>
    <t>MethodNamingConventionsRule</t>
  </si>
  <si>
    <t>12 / 12</t>
  </si>
  <si>
    <t>11 / 12</t>
  </si>
  <si>
    <t>UnnecessaryImportRule</t>
  </si>
  <si>
    <t>35 / 73</t>
  </si>
  <si>
    <t>21 / 73</t>
  </si>
  <si>
    <t>AutoChecker without Iteration</t>
  </si>
  <si>
    <t>AutoChecker without Retrieval</t>
  </si>
  <si>
    <t>5 / 8</t>
  </si>
  <si>
    <t>N/A</t>
  </si>
  <si>
    <t>3 / 7</t>
  </si>
  <si>
    <t>12 / 18</t>
  </si>
  <si>
    <t>17 / 19</t>
  </si>
  <si>
    <t>17 / 22</t>
  </si>
  <si>
    <t>7 / 10</t>
  </si>
  <si>
    <t>12 / 28</t>
  </si>
  <si>
    <t>5 / 6</t>
  </si>
  <si>
    <t>8 / 11</t>
  </si>
  <si>
    <t>15 / 23</t>
  </si>
  <si>
    <t>2 / 9</t>
  </si>
  <si>
    <t>18 / 22</t>
  </si>
  <si>
    <t>15 / 33</t>
  </si>
  <si>
    <t>21 / 31</t>
  </si>
  <si>
    <t>41 / 73</t>
  </si>
  <si>
    <t>rule</t>
  </si>
  <si>
    <t>input token</t>
  </si>
  <si>
    <t>output token</t>
  </si>
  <si>
    <t>money($)</t>
  </si>
  <si>
    <t>time(s)</t>
  </si>
  <si>
    <t>time(m)</t>
    <phoneticPr fontId="6" type="noConversion"/>
  </si>
  <si>
    <r>
      <rPr>
        <sz val="10.5"/>
        <color theme="1"/>
        <rFont val="等线"/>
        <family val="3"/>
        <charset val="134"/>
        <scheme val="minor"/>
      </rPr>
      <t>ExceptionAsFlowControlRule</t>
    </r>
  </si>
  <si>
    <r>
      <rPr>
        <sz val="10.5"/>
        <color theme="1"/>
        <rFont val="等线"/>
        <family val="3"/>
        <charset val="134"/>
        <scheme val="minor"/>
      </rPr>
      <t>ExcessiveImportsRule</t>
    </r>
  </si>
  <si>
    <r>
      <rPr>
        <sz val="10.5"/>
        <color theme="1"/>
        <rFont val="等线"/>
        <family val="3"/>
        <charset val="134"/>
        <scheme val="minor"/>
      </rPr>
      <t>ExcessivePublicCountRule</t>
    </r>
  </si>
  <si>
    <r>
      <rPr>
        <sz val="10.5"/>
        <color theme="1"/>
        <rFont val="等线"/>
        <family val="3"/>
        <charset val="134"/>
        <scheme val="minor"/>
      </rPr>
      <t>IdenticalCatchBranchesRule</t>
    </r>
  </si>
  <si>
    <r>
      <rPr>
        <sz val="10.5"/>
        <color theme="1"/>
        <rFont val="等线"/>
        <family val="3"/>
        <charset val="134"/>
        <scheme val="minor"/>
      </rPr>
      <t>InefficientEmptyStringCheckRule</t>
    </r>
  </si>
  <si>
    <r>
      <rPr>
        <sz val="10.5"/>
        <color theme="1"/>
        <rFont val="等线"/>
        <family val="3"/>
        <charset val="134"/>
        <scheme val="minor"/>
      </rPr>
      <t>NullAssignmentRule</t>
    </r>
  </si>
  <si>
    <r>
      <rPr>
        <sz val="10.5"/>
        <color theme="1"/>
        <rFont val="等线"/>
        <family val="3"/>
        <charset val="134"/>
        <scheme val="minor"/>
      </rPr>
      <t>SignatureDeclareThrowsExceptionRule</t>
    </r>
  </si>
  <si>
    <r>
      <rPr>
        <sz val="10.5"/>
        <color theme="1"/>
        <rFont val="等线"/>
        <family val="3"/>
        <charset val="134"/>
        <scheme val="minor"/>
      </rPr>
      <t>StringInstantiationRule</t>
    </r>
  </si>
  <si>
    <r>
      <rPr>
        <sz val="10.5"/>
        <color theme="1"/>
        <rFont val="等线"/>
        <family val="3"/>
        <charset val="134"/>
        <scheme val="minor"/>
      </rPr>
      <t>UseStringBufferForStringAppendsRule</t>
    </r>
  </si>
  <si>
    <r>
      <rPr>
        <sz val="10.5"/>
        <color theme="1"/>
        <rFont val="等线"/>
        <family val="3"/>
        <charset val="134"/>
        <scheme val="minor"/>
      </rPr>
      <t>AssignmentToNonFinalStaticRule</t>
    </r>
  </si>
  <si>
    <r>
      <rPr>
        <sz val="10.5"/>
        <color theme="1"/>
        <rFont val="等线"/>
        <family val="3"/>
        <charset val="134"/>
        <scheme val="minor"/>
      </rPr>
      <t>AvoidDuplicateLiteralsRule</t>
    </r>
  </si>
  <si>
    <r>
      <rPr>
        <sz val="10.5"/>
        <color theme="1"/>
        <rFont val="等线"/>
        <family val="3"/>
        <charset val="134"/>
        <scheme val="minor"/>
      </rPr>
      <t>AvoidInstantiatingObjectsInLoopsRule</t>
    </r>
  </si>
  <si>
    <r>
      <rPr>
        <sz val="10.5"/>
        <color theme="1"/>
        <rFont val="等线"/>
        <family val="3"/>
        <charset val="134"/>
        <scheme val="minor"/>
      </rPr>
      <t>AvoidThrowingNullPointerExceptionRule</t>
    </r>
  </si>
  <si>
    <r>
      <rPr>
        <sz val="10.5"/>
        <color theme="1"/>
        <rFont val="等线"/>
        <family val="3"/>
        <charset val="134"/>
        <scheme val="minor"/>
      </rPr>
      <t>BrokenNullCheckRule</t>
    </r>
  </si>
  <si>
    <r>
      <rPr>
        <sz val="10.5"/>
        <color theme="1"/>
        <rFont val="等线"/>
        <family val="3"/>
        <charset val="134"/>
        <scheme val="minor"/>
      </rPr>
      <t>ClassWithOnlyPrivateConstructorsShouldBeFinalRule</t>
    </r>
  </si>
  <si>
    <r>
      <rPr>
        <sz val="10.5"/>
        <color theme="1"/>
        <rFont val="等线"/>
        <family val="3"/>
        <charset val="134"/>
        <scheme val="minor"/>
      </rPr>
      <t>LiteralsFirstInComparisonsRule</t>
    </r>
  </si>
  <si>
    <r>
      <rPr>
        <sz val="10.5"/>
        <color theme="1"/>
        <rFont val="等线"/>
        <family val="3"/>
        <charset val="134"/>
        <scheme val="minor"/>
      </rPr>
      <t>EmptyControlStatementRule</t>
    </r>
  </si>
  <si>
    <r>
      <rPr>
        <sz val="10.5"/>
        <color theme="1"/>
        <rFont val="等线"/>
        <family val="3"/>
        <charset val="134"/>
        <scheme val="minor"/>
      </rPr>
      <t>MethodNamingConventionsRule</t>
    </r>
  </si>
  <si>
    <r>
      <rPr>
        <sz val="10.5"/>
        <color theme="1"/>
        <rFont val="等线"/>
        <family val="3"/>
        <charset val="134"/>
        <scheme val="minor"/>
      </rPr>
      <t>UnnecessaryImportRule</t>
    </r>
  </si>
  <si>
    <t>sum</t>
    <phoneticPr fontId="6" type="noConversion"/>
  </si>
  <si>
    <t>avg</t>
    <phoneticPr fontId="6" type="noConversion"/>
  </si>
  <si>
    <t>RQ1: Overall results</t>
    <phoneticPr fontId="2" type="noConversion"/>
  </si>
  <si>
    <t>RQ2: Ablation results</t>
    <phoneticPr fontId="2" type="noConversion"/>
  </si>
  <si>
    <t>RQ3: Time and Token Cost</t>
    <phoneticPr fontId="2" type="noConversion"/>
  </si>
  <si>
    <t>RQ4: the results are in directory "AutoChecker/practice"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</si>
</sst>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>
    <font>
      <sz val="12"/>
      <color theme="1"/>
      <name val="等线"/>
      <family val="2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3" fillId="0" borderId="3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justify" vertical="top" wrapText="1"/>
    </xf>
    <xf numFmtId="177" fontId="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D2A0-DDB6-4C46-968F-C5CCD64211C6}">
  <dimension ref="A1:F76"/>
  <sheetViews>
    <sheetView tabSelected="1" topLeftCell="A2" workbookViewId="0">
      <selection activeCell="E86" sqref="E86"/>
    </sheetView>
  </sheetViews>
  <sheetFormatPr baseColWidth="10" defaultRowHeight="16"/>
  <cols>
    <col min="1" max="1" width="30.6640625" customWidth="1"/>
    <col min="2" max="2" width="15.83203125" customWidth="1"/>
    <col min="3" max="3" width="14" customWidth="1"/>
    <col min="4" max="4" width="16.33203125" customWidth="1"/>
  </cols>
  <sheetData>
    <row r="1" spans="1:4" ht="22" thickBot="1">
      <c r="A1" s="21" t="s">
        <v>97</v>
      </c>
      <c r="B1" s="22"/>
      <c r="C1" s="22"/>
      <c r="D1" s="23"/>
    </row>
    <row r="2" spans="1:4" ht="17" thickBot="1">
      <c r="A2" s="1" t="s">
        <v>0</v>
      </c>
      <c r="B2" s="2" t="s">
        <v>1</v>
      </c>
      <c r="C2" s="2" t="s">
        <v>2</v>
      </c>
      <c r="D2" s="2" t="s">
        <v>3</v>
      </c>
    </row>
    <row r="3" spans="1:4" ht="17" thickBot="1">
      <c r="A3" s="3" t="s">
        <v>4</v>
      </c>
      <c r="B3" s="4" t="s">
        <v>5</v>
      </c>
      <c r="C3" s="4" t="s">
        <v>6</v>
      </c>
      <c r="D3" s="4" t="s">
        <v>6</v>
      </c>
    </row>
    <row r="4" spans="1:4" ht="17" thickBot="1">
      <c r="A4" s="3" t="s">
        <v>7</v>
      </c>
      <c r="B4" s="4" t="s">
        <v>8</v>
      </c>
      <c r="C4" s="5" t="s">
        <v>9</v>
      </c>
      <c r="D4" s="5" t="s">
        <v>9</v>
      </c>
    </row>
    <row r="5" spans="1:4" ht="17" thickBot="1">
      <c r="A5" s="3" t="s">
        <v>10</v>
      </c>
      <c r="B5" s="4" t="s">
        <v>11</v>
      </c>
      <c r="C5" s="5" t="s">
        <v>9</v>
      </c>
      <c r="D5" s="4" t="s">
        <v>11</v>
      </c>
    </row>
    <row r="6" spans="1:4" ht="17" thickBot="1">
      <c r="A6" s="3" t="s">
        <v>12</v>
      </c>
      <c r="B6" s="4" t="s">
        <v>13</v>
      </c>
      <c r="C6" s="4" t="s">
        <v>14</v>
      </c>
      <c r="D6" s="4" t="s">
        <v>14</v>
      </c>
    </row>
    <row r="7" spans="1:4" ht="17" thickBot="1">
      <c r="A7" s="3" t="s">
        <v>15</v>
      </c>
      <c r="B7" s="4" t="s">
        <v>16</v>
      </c>
      <c r="C7" s="5" t="s">
        <v>9</v>
      </c>
      <c r="D7" s="5" t="s">
        <v>9</v>
      </c>
    </row>
    <row r="8" spans="1:4" ht="17" thickBot="1">
      <c r="A8" s="3" t="s">
        <v>17</v>
      </c>
      <c r="B8" s="5" t="s">
        <v>18</v>
      </c>
      <c r="C8" s="5" t="s">
        <v>9</v>
      </c>
      <c r="D8" s="5" t="s">
        <v>9</v>
      </c>
    </row>
    <row r="9" spans="1:4" ht="17" thickBot="1">
      <c r="A9" s="3" t="s">
        <v>19</v>
      </c>
      <c r="B9" s="5" t="s">
        <v>20</v>
      </c>
      <c r="C9" s="5" t="s">
        <v>9</v>
      </c>
      <c r="D9" s="5" t="s">
        <v>9</v>
      </c>
    </row>
    <row r="10" spans="1:4" ht="33" thickBot="1">
      <c r="A10" s="3" t="s">
        <v>21</v>
      </c>
      <c r="B10" s="5" t="s">
        <v>22</v>
      </c>
      <c r="C10" s="5" t="s">
        <v>9</v>
      </c>
      <c r="D10" s="5" t="s">
        <v>9</v>
      </c>
    </row>
    <row r="11" spans="1:4" ht="17" thickBot="1">
      <c r="A11" s="3" t="s">
        <v>23</v>
      </c>
      <c r="B11" s="4" t="s">
        <v>24</v>
      </c>
      <c r="C11" s="5" t="s">
        <v>9</v>
      </c>
      <c r="D11" s="5" t="s">
        <v>9</v>
      </c>
    </row>
    <row r="12" spans="1:4" ht="17" thickBot="1">
      <c r="A12" s="3" t="s">
        <v>25</v>
      </c>
      <c r="B12" s="5" t="s">
        <v>26</v>
      </c>
      <c r="C12" s="5" t="s">
        <v>9</v>
      </c>
      <c r="D12" s="5" t="s">
        <v>9</v>
      </c>
    </row>
    <row r="13" spans="1:4" ht="17" thickBot="1">
      <c r="A13" s="6" t="s">
        <v>27</v>
      </c>
      <c r="B13" s="7" t="s">
        <v>1</v>
      </c>
      <c r="C13" s="7" t="s">
        <v>2</v>
      </c>
      <c r="D13" s="7" t="s">
        <v>3</v>
      </c>
    </row>
    <row r="14" spans="1:4" ht="17" thickBot="1">
      <c r="A14" s="8" t="s">
        <v>28</v>
      </c>
      <c r="B14" s="4" t="s">
        <v>29</v>
      </c>
      <c r="C14" s="5" t="s">
        <v>9</v>
      </c>
      <c r="D14" s="5" t="s">
        <v>9</v>
      </c>
    </row>
    <row r="15" spans="1:4" ht="17" thickBot="1">
      <c r="A15" s="8" t="s">
        <v>30</v>
      </c>
      <c r="B15" s="4" t="s">
        <v>31</v>
      </c>
      <c r="C15" s="5" t="s">
        <v>9</v>
      </c>
      <c r="D15" s="4" t="s">
        <v>32</v>
      </c>
    </row>
    <row r="16" spans="1:4" ht="17" thickBot="1">
      <c r="A16" s="8" t="s">
        <v>33</v>
      </c>
      <c r="B16" s="5" t="s">
        <v>34</v>
      </c>
      <c r="C16" s="5" t="s">
        <v>9</v>
      </c>
      <c r="D16" s="5" t="s">
        <v>9</v>
      </c>
    </row>
    <row r="17" spans="1:4" ht="33" thickBot="1">
      <c r="A17" s="8" t="s">
        <v>35</v>
      </c>
      <c r="B17" s="4" t="s">
        <v>36</v>
      </c>
      <c r="C17" s="5" t="s">
        <v>9</v>
      </c>
      <c r="D17" s="5" t="s">
        <v>9</v>
      </c>
    </row>
    <row r="18" spans="1:4" ht="17" thickBot="1">
      <c r="A18" s="8" t="s">
        <v>37</v>
      </c>
      <c r="B18" s="5" t="s">
        <v>38</v>
      </c>
      <c r="C18" s="5" t="s">
        <v>9</v>
      </c>
      <c r="D18" s="5" t="s">
        <v>9</v>
      </c>
    </row>
    <row r="19" spans="1:4" ht="33" thickBot="1">
      <c r="A19" s="8" t="s">
        <v>39</v>
      </c>
      <c r="B19" s="5" t="s">
        <v>40</v>
      </c>
      <c r="C19" s="5" t="s">
        <v>41</v>
      </c>
      <c r="D19" s="5" t="s">
        <v>9</v>
      </c>
    </row>
    <row r="20" spans="1:4" ht="17" thickBot="1">
      <c r="A20" s="8" t="s">
        <v>42</v>
      </c>
      <c r="B20" s="5" t="s">
        <v>43</v>
      </c>
      <c r="C20" s="5" t="s">
        <v>9</v>
      </c>
      <c r="D20" s="5" t="s">
        <v>9</v>
      </c>
    </row>
    <row r="21" spans="1:4" ht="17" thickBot="1">
      <c r="A21" s="8" t="s">
        <v>44</v>
      </c>
      <c r="B21" s="5" t="s">
        <v>45</v>
      </c>
      <c r="C21" s="5" t="s">
        <v>9</v>
      </c>
      <c r="D21" s="5" t="s">
        <v>9</v>
      </c>
    </row>
    <row r="22" spans="1:4" ht="17" thickBot="1">
      <c r="A22" s="8" t="s">
        <v>46</v>
      </c>
      <c r="B22" s="4" t="s">
        <v>47</v>
      </c>
      <c r="C22" s="4" t="s">
        <v>48</v>
      </c>
      <c r="D22" s="5" t="s">
        <v>9</v>
      </c>
    </row>
    <row r="23" spans="1:4" ht="17" thickBot="1">
      <c r="A23" s="8" t="s">
        <v>49</v>
      </c>
      <c r="B23" s="5" t="s">
        <v>50</v>
      </c>
      <c r="C23" s="5" t="s">
        <v>9</v>
      </c>
      <c r="D23" s="5" t="s">
        <v>51</v>
      </c>
    </row>
    <row r="25" spans="1:4" ht="17" thickBot="1"/>
    <row r="26" spans="1:4" ht="22" thickBot="1">
      <c r="A26" s="24" t="s">
        <v>98</v>
      </c>
      <c r="B26" s="25"/>
      <c r="C26" s="25"/>
      <c r="D26" s="26"/>
    </row>
    <row r="27" spans="1:4" ht="49" thickBot="1">
      <c r="A27" s="1" t="s">
        <v>0</v>
      </c>
      <c r="B27" s="2" t="s">
        <v>1</v>
      </c>
      <c r="C27" s="2" t="s">
        <v>52</v>
      </c>
      <c r="D27" s="2" t="s">
        <v>53</v>
      </c>
    </row>
    <row r="28" spans="1:4" ht="17" thickBot="1">
      <c r="A28" s="3" t="s">
        <v>4</v>
      </c>
      <c r="B28" s="4" t="s">
        <v>5</v>
      </c>
      <c r="C28" s="9" t="s">
        <v>54</v>
      </c>
      <c r="D28" s="10" t="s">
        <v>55</v>
      </c>
    </row>
    <row r="29" spans="1:4" ht="17" thickBot="1">
      <c r="A29" s="3" t="s">
        <v>7</v>
      </c>
      <c r="B29" s="4" t="s">
        <v>8</v>
      </c>
      <c r="C29" s="11" t="s">
        <v>8</v>
      </c>
      <c r="D29" s="5" t="s">
        <v>55</v>
      </c>
    </row>
    <row r="30" spans="1:4" ht="17" thickBot="1">
      <c r="A30" s="3" t="s">
        <v>10</v>
      </c>
      <c r="B30" s="4" t="s">
        <v>11</v>
      </c>
      <c r="C30" s="11" t="s">
        <v>11</v>
      </c>
      <c r="D30" s="4" t="s">
        <v>11</v>
      </c>
    </row>
    <row r="31" spans="1:4" ht="17" thickBot="1">
      <c r="A31" s="3" t="s">
        <v>12</v>
      </c>
      <c r="B31" s="4" t="s">
        <v>13</v>
      </c>
      <c r="C31" s="11" t="s">
        <v>13</v>
      </c>
      <c r="D31" s="4" t="s">
        <v>14</v>
      </c>
    </row>
    <row r="32" spans="1:4" ht="17" thickBot="1">
      <c r="A32" s="3" t="s">
        <v>15</v>
      </c>
      <c r="B32" s="4" t="s">
        <v>16</v>
      </c>
      <c r="C32" s="11" t="s">
        <v>8</v>
      </c>
      <c r="D32" s="4" t="s">
        <v>56</v>
      </c>
    </row>
    <row r="33" spans="1:4" ht="17" thickBot="1">
      <c r="A33" s="3" t="s">
        <v>17</v>
      </c>
      <c r="B33" s="5" t="s">
        <v>18</v>
      </c>
      <c r="C33" s="12" t="s">
        <v>9</v>
      </c>
      <c r="D33" s="4" t="s">
        <v>57</v>
      </c>
    </row>
    <row r="34" spans="1:4" ht="17" thickBot="1">
      <c r="A34" s="3" t="s">
        <v>19</v>
      </c>
      <c r="B34" s="5" t="s">
        <v>20</v>
      </c>
      <c r="C34" s="12" t="s">
        <v>9</v>
      </c>
      <c r="D34" s="5" t="s">
        <v>58</v>
      </c>
    </row>
    <row r="35" spans="1:4" ht="33" thickBot="1">
      <c r="A35" s="3" t="s">
        <v>21</v>
      </c>
      <c r="B35" s="5" t="s">
        <v>22</v>
      </c>
      <c r="C35" s="12" t="s">
        <v>9</v>
      </c>
      <c r="D35" s="5" t="s">
        <v>59</v>
      </c>
    </row>
    <row r="36" spans="1:4" ht="17" thickBot="1">
      <c r="A36" s="3" t="s">
        <v>23</v>
      </c>
      <c r="B36" s="4" t="s">
        <v>24</v>
      </c>
      <c r="C36" s="12" t="s">
        <v>9</v>
      </c>
      <c r="D36" s="4" t="s">
        <v>60</v>
      </c>
    </row>
    <row r="37" spans="1:4" ht="17" thickBot="1">
      <c r="A37" s="3" t="s">
        <v>25</v>
      </c>
      <c r="B37" s="5" t="s">
        <v>26</v>
      </c>
      <c r="C37" s="12" t="s">
        <v>9</v>
      </c>
      <c r="D37" s="4" t="s">
        <v>61</v>
      </c>
    </row>
    <row r="38" spans="1:4" ht="49" thickBot="1">
      <c r="A38" s="6" t="s">
        <v>27</v>
      </c>
      <c r="B38" s="7" t="s">
        <v>1</v>
      </c>
      <c r="C38" s="2" t="s">
        <v>52</v>
      </c>
      <c r="D38" s="2" t="s">
        <v>53</v>
      </c>
    </row>
    <row r="39" spans="1:4" ht="17" thickBot="1">
      <c r="A39" s="8" t="s">
        <v>28</v>
      </c>
      <c r="B39" s="4" t="s">
        <v>29</v>
      </c>
      <c r="C39" s="13" t="s">
        <v>9</v>
      </c>
      <c r="D39" s="14" t="s">
        <v>62</v>
      </c>
    </row>
    <row r="40" spans="1:4" ht="17" thickBot="1">
      <c r="A40" s="8" t="s">
        <v>30</v>
      </c>
      <c r="B40" s="4" t="s">
        <v>31</v>
      </c>
      <c r="C40" s="12" t="s">
        <v>9</v>
      </c>
      <c r="D40" s="4" t="s">
        <v>63</v>
      </c>
    </row>
    <row r="41" spans="1:4" ht="17" thickBot="1">
      <c r="A41" s="8" t="s">
        <v>33</v>
      </c>
      <c r="B41" s="5" t="s">
        <v>34</v>
      </c>
      <c r="C41" s="12" t="s">
        <v>9</v>
      </c>
      <c r="D41" s="5" t="s">
        <v>64</v>
      </c>
    </row>
    <row r="42" spans="1:4" ht="33" thickBot="1">
      <c r="A42" s="8" t="s">
        <v>35</v>
      </c>
      <c r="B42" s="4" t="s">
        <v>36</v>
      </c>
      <c r="C42" s="11" t="s">
        <v>36</v>
      </c>
      <c r="D42" s="4" t="s">
        <v>65</v>
      </c>
    </row>
    <row r="43" spans="1:4" ht="17" thickBot="1">
      <c r="A43" s="8" t="s">
        <v>37</v>
      </c>
      <c r="B43" s="5" t="s">
        <v>38</v>
      </c>
      <c r="C43" s="12" t="s">
        <v>9</v>
      </c>
      <c r="D43" s="5" t="s">
        <v>38</v>
      </c>
    </row>
    <row r="44" spans="1:4" ht="33" thickBot="1">
      <c r="A44" s="8" t="s">
        <v>39</v>
      </c>
      <c r="B44" s="5" t="s">
        <v>40</v>
      </c>
      <c r="C44" s="12" t="s">
        <v>9</v>
      </c>
      <c r="D44" s="5" t="s">
        <v>66</v>
      </c>
    </row>
    <row r="45" spans="1:4" ht="17" thickBot="1">
      <c r="A45" s="8" t="s">
        <v>42</v>
      </c>
      <c r="B45" s="5" t="s">
        <v>43</v>
      </c>
      <c r="C45" s="12" t="s">
        <v>9</v>
      </c>
      <c r="D45" s="5" t="s">
        <v>67</v>
      </c>
    </row>
    <row r="46" spans="1:4" ht="17" thickBot="1">
      <c r="A46" s="8" t="s">
        <v>44</v>
      </c>
      <c r="B46" s="5" t="s">
        <v>45</v>
      </c>
      <c r="C46" s="12" t="s">
        <v>9</v>
      </c>
      <c r="D46" s="5" t="s">
        <v>68</v>
      </c>
    </row>
    <row r="47" spans="1:4" ht="17" thickBot="1">
      <c r="A47" s="8" t="s">
        <v>46</v>
      </c>
      <c r="B47" s="4" t="s">
        <v>47</v>
      </c>
      <c r="C47" s="12" t="s">
        <v>9</v>
      </c>
      <c r="D47" s="4" t="s">
        <v>47</v>
      </c>
    </row>
    <row r="48" spans="1:4" ht="17" thickBot="1">
      <c r="A48" s="8" t="s">
        <v>49</v>
      </c>
      <c r="B48" s="5" t="s">
        <v>50</v>
      </c>
      <c r="C48" s="12" t="s">
        <v>9</v>
      </c>
      <c r="D48" s="5" t="s">
        <v>69</v>
      </c>
    </row>
    <row r="49" spans="1:6" ht="17" thickBot="1"/>
    <row r="50" spans="1:6" ht="23" customHeight="1" thickBot="1">
      <c r="A50" s="24" t="s">
        <v>99</v>
      </c>
      <c r="B50" s="25"/>
      <c r="C50" s="25"/>
      <c r="D50" s="25"/>
      <c r="E50" s="25"/>
      <c r="F50" s="26"/>
    </row>
    <row r="51" spans="1:6" ht="17" thickBot="1">
      <c r="A51" s="15" t="s">
        <v>70</v>
      </c>
      <c r="B51" s="15" t="s">
        <v>71</v>
      </c>
      <c r="C51" s="15" t="s">
        <v>72</v>
      </c>
      <c r="D51" s="16" t="s">
        <v>73</v>
      </c>
      <c r="E51" s="17" t="s">
        <v>74</v>
      </c>
      <c r="F51" s="27" t="s">
        <v>75</v>
      </c>
    </row>
    <row r="52" spans="1:6" ht="17" thickBot="1">
      <c r="A52" s="18" t="s">
        <v>4</v>
      </c>
      <c r="B52" s="18">
        <v>455973</v>
      </c>
      <c r="C52" s="15">
        <v>217564</v>
      </c>
      <c r="D52" s="16">
        <f>B52/1000*0.03+C52/1000*0.06</f>
        <v>26.733029999999999</v>
      </c>
      <c r="E52" s="19">
        <v>1470</v>
      </c>
      <c r="F52" s="16">
        <f>E52/60</f>
        <v>24.5</v>
      </c>
    </row>
    <row r="53" spans="1:6" ht="17" thickBot="1">
      <c r="A53" s="18" t="s">
        <v>76</v>
      </c>
      <c r="B53" s="18">
        <v>916580</v>
      </c>
      <c r="C53" s="15">
        <v>421482</v>
      </c>
      <c r="D53" s="16">
        <f t="shared" ref="D53:D71" si="0">B53/1000*0.03+C53/1000*0.06</f>
        <v>52.786320000000003</v>
      </c>
      <c r="E53" s="19">
        <v>6221</v>
      </c>
      <c r="F53" s="16">
        <f t="shared" ref="F53:F71" si="1">E53/60</f>
        <v>103.68333333333334</v>
      </c>
    </row>
    <row r="54" spans="1:6" ht="17" thickBot="1">
      <c r="A54" s="18" t="s">
        <v>77</v>
      </c>
      <c r="B54" s="18">
        <v>457307</v>
      </c>
      <c r="C54" s="15">
        <v>218207</v>
      </c>
      <c r="D54" s="16">
        <f t="shared" si="0"/>
        <v>26.811630000000001</v>
      </c>
      <c r="E54" s="19">
        <v>488</v>
      </c>
      <c r="F54" s="16">
        <f t="shared" si="1"/>
        <v>8.1333333333333329</v>
      </c>
    </row>
    <row r="55" spans="1:6" ht="17" thickBot="1">
      <c r="A55" s="18" t="s">
        <v>78</v>
      </c>
      <c r="B55" s="18">
        <v>2736</v>
      </c>
      <c r="C55" s="15">
        <v>1245</v>
      </c>
      <c r="D55" s="16">
        <f t="shared" si="0"/>
        <v>0.15678</v>
      </c>
      <c r="E55" s="19">
        <v>861</v>
      </c>
      <c r="F55" s="16">
        <f t="shared" si="1"/>
        <v>14.35</v>
      </c>
    </row>
    <row r="56" spans="1:6" ht="17" thickBot="1">
      <c r="A56" s="18" t="s">
        <v>79</v>
      </c>
      <c r="B56" s="18">
        <v>534636</v>
      </c>
      <c r="C56" s="15">
        <v>258230</v>
      </c>
      <c r="D56" s="16">
        <f t="shared" si="0"/>
        <v>31.532879999999999</v>
      </c>
      <c r="E56" s="19">
        <v>5207</v>
      </c>
      <c r="F56" s="16">
        <f t="shared" si="1"/>
        <v>86.783333333333331</v>
      </c>
    </row>
    <row r="57" spans="1:6" ht="17" thickBot="1">
      <c r="A57" s="18" t="s">
        <v>80</v>
      </c>
      <c r="B57" s="18">
        <v>603230</v>
      </c>
      <c r="C57" s="15">
        <v>282645</v>
      </c>
      <c r="D57" s="16">
        <f t="shared" si="0"/>
        <v>35.055599999999998</v>
      </c>
      <c r="E57" s="19">
        <v>4809</v>
      </c>
      <c r="F57" s="16">
        <f t="shared" si="1"/>
        <v>80.150000000000006</v>
      </c>
    </row>
    <row r="58" spans="1:6" ht="17" thickBot="1">
      <c r="A58" s="18" t="s">
        <v>81</v>
      </c>
      <c r="B58" s="18">
        <v>855693</v>
      </c>
      <c r="C58" s="15">
        <v>396729</v>
      </c>
      <c r="D58" s="16">
        <f t="shared" si="0"/>
        <v>49.474530000000001</v>
      </c>
      <c r="E58" s="19">
        <v>3139</v>
      </c>
      <c r="F58" s="16">
        <f t="shared" si="1"/>
        <v>52.31666666666667</v>
      </c>
    </row>
    <row r="59" spans="1:6" ht="33" thickBot="1">
      <c r="A59" s="18" t="s">
        <v>82</v>
      </c>
      <c r="B59" s="18">
        <v>649084</v>
      </c>
      <c r="C59" s="15">
        <v>308983</v>
      </c>
      <c r="D59" s="16">
        <f t="shared" si="0"/>
        <v>38.011499999999998</v>
      </c>
      <c r="E59" s="19">
        <v>3935</v>
      </c>
      <c r="F59" s="16">
        <f t="shared" si="1"/>
        <v>65.583333333333329</v>
      </c>
    </row>
    <row r="60" spans="1:6" ht="17" thickBot="1">
      <c r="A60" s="18" t="s">
        <v>83</v>
      </c>
      <c r="B60" s="18">
        <v>652612</v>
      </c>
      <c r="C60" s="15">
        <v>324739</v>
      </c>
      <c r="D60" s="16">
        <f t="shared" si="0"/>
        <v>39.0627</v>
      </c>
      <c r="E60" s="19">
        <v>2751</v>
      </c>
      <c r="F60" s="16">
        <f t="shared" si="1"/>
        <v>45.85</v>
      </c>
    </row>
    <row r="61" spans="1:6" ht="17" thickBot="1">
      <c r="A61" s="18" t="s">
        <v>84</v>
      </c>
      <c r="B61" s="18">
        <v>842335</v>
      </c>
      <c r="C61" s="15">
        <v>391885</v>
      </c>
      <c r="D61" s="16">
        <f t="shared" si="0"/>
        <v>48.783149999999999</v>
      </c>
      <c r="E61" s="19">
        <v>13701</v>
      </c>
      <c r="F61" s="16">
        <f t="shared" si="1"/>
        <v>228.35</v>
      </c>
    </row>
    <row r="62" spans="1:6" ht="17" thickBot="1">
      <c r="A62" s="18" t="s">
        <v>85</v>
      </c>
      <c r="B62" s="18">
        <v>334567</v>
      </c>
      <c r="C62" s="15">
        <v>161608</v>
      </c>
      <c r="D62" s="16">
        <f t="shared" si="0"/>
        <v>19.73349</v>
      </c>
      <c r="E62" s="19">
        <v>2204</v>
      </c>
      <c r="F62" s="16">
        <f t="shared" si="1"/>
        <v>36.733333333333334</v>
      </c>
    </row>
    <row r="63" spans="1:6" ht="17" thickBot="1">
      <c r="A63" s="18" t="s">
        <v>86</v>
      </c>
      <c r="B63" s="18">
        <v>13707</v>
      </c>
      <c r="C63" s="15">
        <v>5602</v>
      </c>
      <c r="D63" s="16">
        <f t="shared" si="0"/>
        <v>0.74733000000000005</v>
      </c>
      <c r="E63" s="19">
        <v>1858</v>
      </c>
      <c r="F63" s="16">
        <f t="shared" si="1"/>
        <v>30.966666666666665</v>
      </c>
    </row>
    <row r="64" spans="1:6" ht="17" thickBot="1">
      <c r="A64" s="18" t="s">
        <v>87</v>
      </c>
      <c r="B64" s="18">
        <v>440875</v>
      </c>
      <c r="C64" s="15">
        <v>211062</v>
      </c>
      <c r="D64" s="16">
        <f t="shared" si="0"/>
        <v>25.889969999999998</v>
      </c>
      <c r="E64" s="19">
        <v>11046</v>
      </c>
      <c r="F64" s="16">
        <f t="shared" si="1"/>
        <v>184.1</v>
      </c>
    </row>
    <row r="65" spans="1:6" ht="33" thickBot="1">
      <c r="A65" s="18" t="s">
        <v>88</v>
      </c>
      <c r="B65" s="18">
        <v>20020</v>
      </c>
      <c r="C65" s="15">
        <v>14056</v>
      </c>
      <c r="D65" s="16">
        <f t="shared" si="0"/>
        <v>1.4439599999999997</v>
      </c>
      <c r="E65" s="19">
        <v>3018</v>
      </c>
      <c r="F65" s="16">
        <f t="shared" si="1"/>
        <v>50.3</v>
      </c>
    </row>
    <row r="66" spans="1:6" ht="17" thickBot="1">
      <c r="A66" s="18" t="s">
        <v>89</v>
      </c>
      <c r="B66" s="18">
        <v>363911</v>
      </c>
      <c r="C66" s="15">
        <v>162191</v>
      </c>
      <c r="D66" s="16">
        <f t="shared" si="0"/>
        <v>20.648789999999998</v>
      </c>
      <c r="E66" s="19">
        <v>13353</v>
      </c>
      <c r="F66" s="16">
        <f t="shared" si="1"/>
        <v>222.55</v>
      </c>
    </row>
    <row r="67" spans="1:6" ht="33" thickBot="1">
      <c r="A67" s="18" t="s">
        <v>90</v>
      </c>
      <c r="B67" s="18">
        <v>67175</v>
      </c>
      <c r="C67" s="15">
        <v>32972</v>
      </c>
      <c r="D67" s="16">
        <f t="shared" si="0"/>
        <v>3.9935700000000001</v>
      </c>
      <c r="E67" s="19">
        <v>6495</v>
      </c>
      <c r="F67" s="16">
        <f t="shared" si="1"/>
        <v>108.25</v>
      </c>
    </row>
    <row r="68" spans="1:6" ht="17" thickBot="1">
      <c r="A68" s="18" t="s">
        <v>91</v>
      </c>
      <c r="B68" s="18">
        <v>281105</v>
      </c>
      <c r="C68" s="15">
        <v>110298</v>
      </c>
      <c r="D68" s="16">
        <f t="shared" si="0"/>
        <v>15.051029999999999</v>
      </c>
      <c r="E68" s="19">
        <v>5870</v>
      </c>
      <c r="F68" s="16">
        <f t="shared" si="1"/>
        <v>97.833333333333329</v>
      </c>
    </row>
    <row r="69" spans="1:6" ht="17" thickBot="1">
      <c r="A69" s="18" t="s">
        <v>92</v>
      </c>
      <c r="B69" s="18">
        <v>212536</v>
      </c>
      <c r="C69" s="15">
        <v>100609</v>
      </c>
      <c r="D69" s="16">
        <f t="shared" si="0"/>
        <v>12.41262</v>
      </c>
      <c r="E69" s="19">
        <v>12045</v>
      </c>
      <c r="F69" s="16">
        <f t="shared" si="1"/>
        <v>200.75</v>
      </c>
    </row>
    <row r="70" spans="1:6" ht="17" thickBot="1">
      <c r="A70" s="18" t="s">
        <v>93</v>
      </c>
      <c r="B70" s="18">
        <v>286156</v>
      </c>
      <c r="C70" s="15">
        <v>112558</v>
      </c>
      <c r="D70" s="16">
        <f t="shared" si="0"/>
        <v>15.338160000000002</v>
      </c>
      <c r="E70" s="19">
        <v>906</v>
      </c>
      <c r="F70" s="16">
        <f t="shared" si="1"/>
        <v>15.1</v>
      </c>
    </row>
    <row r="71" spans="1:6" ht="17" thickBot="1">
      <c r="A71" s="18" t="s">
        <v>94</v>
      </c>
      <c r="B71" s="18">
        <v>525026</v>
      </c>
      <c r="C71" s="15">
        <v>309004</v>
      </c>
      <c r="D71" s="16">
        <f t="shared" si="0"/>
        <v>34.291020000000003</v>
      </c>
      <c r="E71" s="19">
        <v>36875</v>
      </c>
      <c r="F71" s="16">
        <f t="shared" si="1"/>
        <v>614.58333333333337</v>
      </c>
    </row>
    <row r="72" spans="1:6" ht="17" thickBot="1">
      <c r="A72" s="20" t="s">
        <v>95</v>
      </c>
      <c r="B72" s="15">
        <f>SUM(B52:B71)</f>
        <v>8515264</v>
      </c>
      <c r="C72" s="15">
        <f>SUM(C52:C71)</f>
        <v>4041669</v>
      </c>
      <c r="D72" s="16">
        <f>SUM(D52:D71)</f>
        <v>497.95806000000005</v>
      </c>
      <c r="E72" s="17">
        <f>SUM(E52:E71)</f>
        <v>136252</v>
      </c>
      <c r="F72" s="17">
        <f>SUM(F52:F71)</f>
        <v>2270.8666666666668</v>
      </c>
    </row>
    <row r="73" spans="1:6" ht="17" thickBot="1">
      <c r="A73" s="20" t="s">
        <v>96</v>
      </c>
      <c r="B73" s="15">
        <f>B72/20</f>
        <v>425763.2</v>
      </c>
      <c r="C73" s="15">
        <f>C72/20</f>
        <v>202083.45</v>
      </c>
      <c r="D73" s="16">
        <f>D72/20</f>
        <v>24.897903000000003</v>
      </c>
      <c r="E73" s="17">
        <f>E72/20</f>
        <v>6812.6</v>
      </c>
      <c r="F73" s="17">
        <f>F72/20</f>
        <v>113.54333333333334</v>
      </c>
    </row>
    <row r="76" spans="1:6" ht="21">
      <c r="A76" s="28" t="s">
        <v>100</v>
      </c>
      <c r="B76" s="28"/>
      <c r="C76" s="28"/>
      <c r="D76" s="28"/>
    </row>
  </sheetData>
  <mergeCells count="4">
    <mergeCell ref="A26:D26"/>
    <mergeCell ref="A1:D1"/>
    <mergeCell ref="A50:F50"/>
    <mergeCell ref="A76:D7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远远 解</dc:creator>
  <cp:lastModifiedBy>远远 解</cp:lastModifiedBy>
  <dcterms:created xsi:type="dcterms:W3CDTF">2024-11-01T07:35:07Z</dcterms:created>
  <dcterms:modified xsi:type="dcterms:W3CDTF">2024-11-01T07:42:07Z</dcterms:modified>
</cp:coreProperties>
</file>